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space\cpp\GuillotineCut\Deploy\"/>
    </mc:Choice>
  </mc:AlternateContent>
  <bookViews>
    <workbookView xWindow="142380" yWindow="0" windowWidth="12420" windowHeight="12570"/>
  </bookViews>
  <sheets>
    <sheet name="ConfigRank" sheetId="1" r:id="rId1"/>
  </sheets>
  <definedNames>
    <definedName name="_xlnm._FilterDatabase" localSheetId="0" hidden="1">ConfigRank!$B$1:$B$35</definedName>
  </definedNames>
  <calcPr calcId="162913" refMode="R1C1"/>
</workbook>
</file>

<file path=xl/calcChain.xml><?xml version="1.0" encoding="utf-8"?>
<calcChain xmlns="http://schemas.openxmlformats.org/spreadsheetml/2006/main">
  <c r="C31" i="1" l="1"/>
  <c r="D31" i="1"/>
  <c r="C5" i="1"/>
  <c r="D5" i="1"/>
  <c r="F5" i="1"/>
  <c r="E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F31" i="1"/>
  <c r="E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</calcChain>
</file>

<file path=xl/sharedStrings.xml><?xml version="1.0" encoding="utf-8"?>
<sst xmlns="http://schemas.openxmlformats.org/spreadsheetml/2006/main" count="62" uniqueCount="59">
  <si>
    <r>
      <rPr>
        <sz val="11"/>
        <color theme="1"/>
        <rFont val="宋体"/>
        <family val="2"/>
      </rPr>
      <t>Best
Objective</t>
    </r>
    <phoneticPr fontId="0" type="noConversion"/>
  </si>
  <si>
    <r>
      <rPr>
        <sz val="11"/>
        <color theme="1"/>
        <rFont val="宋体"/>
        <family val="2"/>
      </rPr>
      <t>Configuration</t>
    </r>
    <phoneticPr fontId="0" type="noConversion"/>
  </si>
  <si>
    <r>
      <rPr>
        <sz val="11"/>
        <color theme="1"/>
        <rFont val="宋体"/>
        <family val="2"/>
      </rPr>
      <t>Sprint Best</t>
    </r>
    <phoneticPr fontId="0" type="noConversion"/>
  </si>
  <si>
    <r>
      <rPr>
        <sz val="11"/>
        <color theme="1"/>
        <rFont val="宋体"/>
        <family val="2"/>
      </rPr>
      <t>Our Sprint</t>
    </r>
    <phoneticPr fontId="0" type="noConversion"/>
  </si>
  <si>
    <t>[I20x4]st=10;sn=3;sc=80;sr=0.9;sf=1;sl=1*1*6*5;ss=1*1;or=1;ui=0;uf=0;ub=0;ue=0;ua=0;uw=0</t>
  </si>
  <si>
    <r>
      <rPr>
        <sz val="11"/>
        <color theme="1"/>
        <rFont val="宋体"/>
        <family val="2"/>
      </rPr>
      <t>StartTime</t>
    </r>
    <phoneticPr fontId="0" type="noConversion"/>
  </si>
  <si>
    <r>
      <rPr>
        <sz val="11"/>
        <color theme="1"/>
        <rFont val="宋体"/>
        <family val="2"/>
      </rPr>
      <t>FeasibleCount</t>
    </r>
    <phoneticPr fontId="0" type="noConversion"/>
  </si>
  <si>
    <r>
      <rPr>
        <sz val="11"/>
        <color theme="1"/>
        <rFont val="宋体"/>
        <family val="2"/>
      </rPr>
      <t>RunCount</t>
    </r>
    <phoneticPr fontId="0" type="noConversion"/>
  </si>
  <si>
    <r>
      <rPr>
        <sz val="11"/>
        <color theme="1"/>
        <rFont val="宋体"/>
        <family val="2"/>
      </rPr>
      <t>Min</t>
    </r>
    <phoneticPr fontId="0" type="noConversion"/>
  </si>
  <si>
    <r>
      <rPr>
        <sz val="11"/>
        <color theme="1"/>
        <rFont val="宋体"/>
        <family val="2"/>
      </rPr>
      <t>NormalizedScore</t>
    </r>
    <phoneticPr fontId="0" type="noConversion"/>
  </si>
  <si>
    <r>
      <rPr>
        <sz val="11"/>
        <color theme="1"/>
        <rFont val="宋体"/>
        <family val="2"/>
      </rPr>
      <t>A1</t>
    </r>
    <phoneticPr fontId="0" type="noConversion"/>
  </si>
  <si>
    <r>
      <rPr>
        <sz val="11"/>
        <color theme="1"/>
        <rFont val="宋体"/>
        <family val="2"/>
      </rPr>
      <t>A2</t>
    </r>
    <phoneticPr fontId="0" type="noConversion"/>
  </si>
  <si>
    <r>
      <rPr>
        <sz val="11"/>
        <color theme="1"/>
        <rFont val="宋体"/>
        <family val="2"/>
      </rPr>
      <t>A3</t>
    </r>
    <phoneticPr fontId="0" type="noConversion"/>
  </si>
  <si>
    <r>
      <rPr>
        <sz val="11"/>
        <color theme="1"/>
        <rFont val="宋体"/>
        <family val="2"/>
      </rPr>
      <t>A4</t>
    </r>
    <phoneticPr fontId="0" type="noConversion"/>
  </si>
  <si>
    <r>
      <rPr>
        <sz val="11"/>
        <color theme="1"/>
        <rFont val="宋体"/>
        <family val="2"/>
      </rPr>
      <t>A5</t>
    </r>
    <phoneticPr fontId="0" type="noConversion"/>
  </si>
  <si>
    <r>
      <rPr>
        <sz val="11"/>
        <color theme="1"/>
        <rFont val="宋体"/>
        <family val="2"/>
      </rPr>
      <t>A6</t>
    </r>
    <phoneticPr fontId="0" type="noConversion"/>
  </si>
  <si>
    <r>
      <rPr>
        <sz val="11"/>
        <color theme="1"/>
        <rFont val="宋体"/>
        <family val="2"/>
      </rPr>
      <t>A7</t>
    </r>
    <phoneticPr fontId="0" type="noConversion"/>
  </si>
  <si>
    <r>
      <rPr>
        <sz val="11"/>
        <color theme="1"/>
        <rFont val="宋体"/>
        <family val="2"/>
      </rPr>
      <t>A8</t>
    </r>
    <phoneticPr fontId="0" type="noConversion"/>
  </si>
  <si>
    <r>
      <rPr>
        <sz val="11"/>
        <color theme="1"/>
        <rFont val="宋体"/>
        <family val="2"/>
      </rPr>
      <t>A9</t>
    </r>
    <phoneticPr fontId="0" type="noConversion"/>
  </si>
  <si>
    <r>
      <rPr>
        <sz val="11"/>
        <color theme="1"/>
        <rFont val="宋体"/>
        <family val="2"/>
      </rPr>
      <t>A10</t>
    </r>
    <phoneticPr fontId="0" type="noConversion"/>
  </si>
  <si>
    <r>
      <rPr>
        <sz val="11"/>
        <color theme="1"/>
        <rFont val="宋体"/>
        <family val="2"/>
      </rPr>
      <t>A11</t>
    </r>
    <phoneticPr fontId="0" type="noConversion"/>
  </si>
  <si>
    <r>
      <rPr>
        <sz val="11"/>
        <color theme="1"/>
        <rFont val="宋体"/>
        <family val="2"/>
      </rPr>
      <t>A12</t>
    </r>
    <phoneticPr fontId="0" type="noConversion"/>
  </si>
  <si>
    <r>
      <rPr>
        <sz val="11"/>
        <color theme="1"/>
        <rFont val="宋体"/>
        <family val="2"/>
      </rPr>
      <t>A13</t>
    </r>
    <phoneticPr fontId="0" type="noConversion"/>
  </si>
  <si>
    <r>
      <rPr>
        <sz val="11"/>
        <color theme="1"/>
        <rFont val="宋体"/>
        <family val="2"/>
      </rPr>
      <t>A14</t>
    </r>
    <phoneticPr fontId="0" type="noConversion"/>
  </si>
  <si>
    <r>
      <rPr>
        <sz val="11"/>
        <color theme="1"/>
        <rFont val="宋体"/>
        <family val="2"/>
      </rPr>
      <t>A15</t>
    </r>
    <phoneticPr fontId="0" type="noConversion"/>
  </si>
  <si>
    <r>
      <rPr>
        <sz val="11"/>
        <color theme="1"/>
        <rFont val="宋体"/>
        <family val="2"/>
      </rPr>
      <t>A16</t>
    </r>
    <phoneticPr fontId="0" type="noConversion"/>
  </si>
  <si>
    <r>
      <rPr>
        <sz val="11"/>
        <color theme="1"/>
        <rFont val="宋体"/>
        <family val="2"/>
      </rPr>
      <t>A17</t>
    </r>
    <phoneticPr fontId="0" type="noConversion"/>
  </si>
  <si>
    <r>
      <rPr>
        <sz val="11"/>
        <color theme="1"/>
        <rFont val="宋体"/>
        <family val="2"/>
      </rPr>
      <t>A18</t>
    </r>
    <phoneticPr fontId="0" type="noConversion"/>
  </si>
  <si>
    <r>
      <rPr>
        <sz val="11"/>
        <color theme="1"/>
        <rFont val="宋体"/>
        <family val="2"/>
      </rPr>
      <t>A19</t>
    </r>
    <phoneticPr fontId="0" type="noConversion"/>
  </si>
  <si>
    <r>
      <rPr>
        <sz val="11"/>
        <color theme="1"/>
        <rFont val="宋体"/>
        <family val="2"/>
      </rPr>
      <t>A20</t>
    </r>
    <phoneticPr fontId="0" type="noConversion"/>
  </si>
  <si>
    <r>
      <rPr>
        <sz val="11"/>
        <color theme="1"/>
        <rFont val="宋体"/>
        <family val="2"/>
      </rPr>
      <t>Average
Objective</t>
    </r>
    <phoneticPr fontId="0" type="noConversion"/>
  </si>
  <si>
    <r>
      <rPr>
        <sz val="11"/>
        <color theme="1"/>
        <rFont val="宋体"/>
        <family val="2"/>
      </rPr>
      <t>Configuration</t>
    </r>
    <phoneticPr fontId="0" type="noConversion"/>
  </si>
  <si>
    <r>
      <rPr>
        <sz val="11"/>
        <color theme="1"/>
        <rFont val="宋体"/>
        <family val="2"/>
      </rPr>
      <t>Sprint Best</t>
    </r>
    <phoneticPr fontId="0" type="noConversion"/>
  </si>
  <si>
    <r>
      <rPr>
        <sz val="11"/>
        <color theme="1"/>
        <rFont val="宋体"/>
        <family val="2"/>
      </rPr>
      <t>Our Sprint</t>
    </r>
    <phoneticPr fontId="0" type="noConversion"/>
  </si>
  <si>
    <r>
      <rPr>
        <sz val="11"/>
        <color theme="1"/>
        <rFont val="宋体"/>
        <family val="2"/>
      </rPr>
      <t>StartTime</t>
    </r>
    <phoneticPr fontId="0" type="noConversion"/>
  </si>
  <si>
    <r>
      <rPr>
        <sz val="11"/>
        <color theme="1"/>
        <rFont val="宋体"/>
        <family val="2"/>
      </rPr>
      <t>FeasibleCount</t>
    </r>
    <phoneticPr fontId="0" type="noConversion"/>
  </si>
  <si>
    <r>
      <rPr>
        <sz val="11"/>
        <color theme="1"/>
        <rFont val="宋体"/>
        <family val="2"/>
      </rPr>
      <t>RunCount</t>
    </r>
    <phoneticPr fontId="0" type="noConversion"/>
  </si>
  <si>
    <r>
      <rPr>
        <sz val="11"/>
        <color theme="1"/>
        <rFont val="宋体"/>
        <family val="2"/>
      </rPr>
      <t>Min</t>
    </r>
    <phoneticPr fontId="0" type="noConversion"/>
  </si>
  <si>
    <r>
      <rPr>
        <sz val="11"/>
        <color theme="1"/>
        <rFont val="宋体"/>
        <family val="2"/>
      </rPr>
      <t>NormalizedScore</t>
    </r>
    <phoneticPr fontId="0" type="noConversion"/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</si>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</sst>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_);[Red]\(0.000000\)"/>
  </numFmts>
  <fonts count="20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0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</cellStyleXfs>
  <cellXfs count="32">
    <xf numFmtId="0" fontId="0" fillId="0" borderId="0" xfId="0">
      <alignment vertical="center"/>
    </xf>
    <xf numFmtId="0" fontId="0" fillId="0" borderId="18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0" borderId="16" xfId="0" applyNumberFormat="1" applyFill="1" applyBorder="1" applyAlignment="1" applyProtection="1">
      <alignment horizontal="center" vertical="center"/>
    </xf>
    <xf numFmtId="0" fontId="0" fillId="0" borderId="16" xfId="0" applyNumberFormat="1" applyFill="1" applyBorder="1" applyAlignment="1" applyProtection="1">
      <alignment horizontal="center" vertical="center" wrapText="1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horizontal="center" vertical="center"/>
    </xf>
    <xf numFmtId="0" fontId="0" fillId="0" borderId="16" xfId="0" applyNumberFormat="1" applyFill="1" applyBorder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15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14" fontId="0" fillId="0" borderId="16" xfId="0" applyNumberFormat="1" applyFill="1" applyBorder="1" applyAlignment="1" applyProtection="1">
      <alignment horizontal="center" vertical="center"/>
    </xf>
    <xf numFmtId="0" fontId="0" fillId="0" borderId="14" xfId="0" applyNumberFormat="1" applyFill="1" applyBorder="1" applyAlignment="1" applyProtection="1">
      <alignment horizontal="center" vertical="center"/>
    </xf>
    <xf numFmtId="0" fontId="0" fillId="0" borderId="18" xfId="0" applyNumberFormat="1" applyFill="1" applyBorder="1" applyAlignment="1" applyProtection="1">
      <alignment horizontal="center" vertical="center"/>
    </xf>
    <xf numFmtId="14" fontId="0" fillId="0" borderId="18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10" fontId="0" fillId="0" borderId="0" xfId="0" applyNumberFormat="1" applyFill="1" applyAlignment="1" applyProtection="1">
      <alignment horizontal="center" vertical="center"/>
    </xf>
    <xf numFmtId="0" fontId="0" fillId="10" borderId="11" xfId="0" applyNumberFormat="1" applyFill="1" applyBorder="1" applyAlignment="1" applyProtection="1">
      <alignment horizontal="center" vertical="center"/>
    </xf>
    <xf numFmtId="176" fontId="0" fillId="10" borderId="15" xfId="0" applyNumberFormat="1" applyFill="1" applyBorder="1" applyAlignment="1" applyProtection="1">
      <alignment horizontal="center" vertical="center"/>
    </xf>
    <xf numFmtId="0" fontId="0" fillId="10" borderId="0" xfId="0" applyNumberFormat="1" applyFill="1" applyAlignment="1" applyProtection="1">
      <alignment horizontal="center" vertical="center"/>
    </xf>
    <xf numFmtId="0" fontId="0" fillId="10" borderId="15" xfId="0" applyNumberFormat="1" applyFill="1" applyBorder="1" applyAlignment="1" applyProtection="1">
      <alignment horizontal="center" vertical="center"/>
    </xf>
    <xf numFmtId="0" fontId="0" fillId="10" borderId="14" xfId="0" applyNumberFormat="1" applyFill="1" applyBorder="1" applyAlignment="1" applyProtection="1">
      <alignment horizontal="center" vertical="center"/>
    </xf>
    <xf numFmtId="176" fontId="0" fillId="10" borderId="14" xfId="0" applyNumberFormat="1" applyFill="1" applyBorder="1" applyAlignment="1" applyProtection="1">
      <alignment horizontal="center" vertical="center"/>
    </xf>
    <xf numFmtId="0" fontId="0" fillId="10" borderId="16" xfId="0" applyNumberFormat="1" applyFill="1" applyBorder="1" applyAlignment="1" applyProtection="1">
      <alignment horizontal="center" vertical="center"/>
    </xf>
    <xf numFmtId="176" fontId="0" fillId="10" borderId="19" xfId="0" applyNumberFormat="1" applyFill="1" applyBorder="1" applyAlignment="1" applyProtection="1">
      <alignment horizontal="center" vertical="center"/>
    </xf>
    <xf numFmtId="176" fontId="0" fillId="10" borderId="10" xfId="0" applyNumberFormat="1" applyFill="1" applyBorder="1" applyAlignment="1" applyProtection="1">
      <alignment horizontal="center" vertical="center"/>
    </xf>
    <xf numFmtId="0" fontId="0" fillId="10" borderId="12" xfId="0" applyNumberFormat="1" applyFill="1" applyBorder="1" applyAlignment="1" applyProtection="1">
      <alignment horizontal="center" vertical="center"/>
    </xf>
    <xf numFmtId="0" fontId="0" fillId="10" borderId="17" xfId="0" applyNumberFormat="1" applyFill="1" applyBorder="1" applyAlignment="1" applyProtection="1">
      <alignment horizontal="center" vertical="center"/>
    </xf>
    <xf numFmtId="0" fontId="0" fillId="10" borderId="18" xfId="0" applyNumberFormat="1" applyFill="1" applyBorder="1" applyAlignment="1" applyProtection="1">
      <alignment horizontal="center" vertical="center"/>
    </xf>
    <xf numFmtId="0" fontId="0" fillId="10" borderId="13" xfId="0" applyNumberFormat="1" applyFill="1" applyBorder="1" applyAlignment="1" applyProtection="1">
      <alignment horizontal="center" vertical="center"/>
    </xf>
    <xf numFmtId="0" fontId="0" fillId="10" borderId="10" xfId="0" applyNumberFormat="1" applyFill="1" applyBorder="1" applyAlignment="1" applyProtection="1">
      <alignment horizontal="center" vertical="center"/>
    </xf>
    <xf numFmtId="176" fontId="0" fillId="10" borderId="18" xfId="0" applyNumberFormat="1" applyFill="1" applyBorder="1" applyAlignment="1" applyProtection="1">
      <alignment horizontal="center" vertical="center"/>
    </xf>
  </cellXfs>
  <cellStyles count="100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10" xfId="50"/>
    <cellStyle name="常规 11" xfId="51"/>
    <cellStyle name="常规 12" xfId="52"/>
    <cellStyle name="常规 13" xfId="53"/>
    <cellStyle name="常规 14" xfId="54"/>
    <cellStyle name="常规 15" xfId="55"/>
    <cellStyle name="常规 16" xfId="56"/>
    <cellStyle name="常规 17" xfId="57"/>
    <cellStyle name="常规 18" xfId="58"/>
    <cellStyle name="常规 19" xfId="59"/>
    <cellStyle name="常规 2" xfId="42"/>
    <cellStyle name="常规 20" xfId="60"/>
    <cellStyle name="常规 21" xfId="61"/>
    <cellStyle name="常规 22" xfId="62"/>
    <cellStyle name="常规 23" xfId="63"/>
    <cellStyle name="常规 24" xfId="64"/>
    <cellStyle name="常规 25" xfId="65"/>
    <cellStyle name="常规 26" xfId="66"/>
    <cellStyle name="常规 27" xfId="67"/>
    <cellStyle name="常规 28" xfId="68"/>
    <cellStyle name="常规 29" xfId="69"/>
    <cellStyle name="常规 3" xfId="43"/>
    <cellStyle name="常规 30" xfId="70"/>
    <cellStyle name="常规 31" xfId="71"/>
    <cellStyle name="常规 32" xfId="72"/>
    <cellStyle name="常规 33" xfId="73"/>
    <cellStyle name="常规 34" xfId="74"/>
    <cellStyle name="常规 35" xfId="75"/>
    <cellStyle name="常规 36" xfId="76"/>
    <cellStyle name="常规 37" xfId="77"/>
    <cellStyle name="常规 38" xfId="78"/>
    <cellStyle name="常规 39" xfId="79"/>
    <cellStyle name="常规 4" xfId="44"/>
    <cellStyle name="常规 40" xfId="80"/>
    <cellStyle name="常规 41" xfId="81"/>
    <cellStyle name="常规 42" xfId="82"/>
    <cellStyle name="常规 43" xfId="83"/>
    <cellStyle name="常规 44" xfId="84"/>
    <cellStyle name="常规 45" xfId="85"/>
    <cellStyle name="常规 46" xfId="86"/>
    <cellStyle name="常规 47" xfId="87"/>
    <cellStyle name="常规 48" xfId="88"/>
    <cellStyle name="常规 49" xfId="89"/>
    <cellStyle name="常规 5" xfId="45"/>
    <cellStyle name="常规 50" xfId="90"/>
    <cellStyle name="常规 51" xfId="91"/>
    <cellStyle name="常规 52" xfId="92"/>
    <cellStyle name="常规 53" xfId="93"/>
    <cellStyle name="常规 54" xfId="94"/>
    <cellStyle name="常规 55" xfId="95"/>
    <cellStyle name="常规 56" xfId="96"/>
    <cellStyle name="常规 57" xfId="97"/>
    <cellStyle name="常规 58" xfId="98"/>
    <cellStyle name="常规 59" xfId="99"/>
    <cellStyle name="常规 6" xfId="46"/>
    <cellStyle name="常规 7" xfId="47"/>
    <cellStyle name="常规 8" xfId="48"/>
    <cellStyle name="常规 9" xfId="49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360"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  <i val="0"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  <dxf>
      <font>
        <b/>
      </font>
    </dxf>
    <dxf>
      <font>
        <u/>
        <color rgb="FFFF0000"/>
      </font>
    </dxf>
    <dxf>
      <font>
        <color rgb="FFFF640A"/>
      </font>
    </dxf>
  </dxfs>
  <tableStyles count="0" defaultTableStyle="TableStyleMedium2" defaultPivotStyle="PivotStyleLight16"/>
  <colors>
    <mruColors>
      <color rgb="FFCCFFFF"/>
      <color rgb="FFFF640A"/>
      <color rgb="FFFF6410"/>
      <color rgb="FFFF8020"/>
      <color rgb="FFED8C32"/>
      <color rgb="FFA02000"/>
      <color rgb="FF6600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72"/>
  <sheetViews>
    <sheetView tabSelected="1" workbookViewId="0">
      <pane xSplit="2" topLeftCell="C1" activePane="topRight" state="frozenSplit"/>
      <selection activeCell="F32" sqref="F32"/>
      <selection pane="topRight" sqref="A1:A4"/>
    </sheetView>
  </sheetViews>
  <sheetFormatPr defaultColWidth="14.625" defaultRowHeight="15.95" customHeight="1" x14ac:dyDescent="0.15"/>
  <cols>
    <col min="1" max="1" width="10.5" style="15" bestFit="1" customWidth="1"/>
    <col min="2" max="2" width="19" style="15" bestFit="1" customWidth="1"/>
    <col min="3" max="7" width="14.625" style="15" customWidth="1"/>
    <col min="8" max="16384" width="14.625" style="15"/>
  </cols>
  <sheetData>
    <row r="1" spans="1:52" s="17" customFormat="1" ht="15.95" customHeight="1" x14ac:dyDescent="0.15">
      <c r="A1" s="4" t="s">
        <v>0</v>
      </c>
      <c r="B1" s="17" t="s">
        <v>1</v>
      </c>
      <c r="C1" s="23" t="s">
        <v>2</v>
      </c>
      <c r="D1" s="23" t="s">
        <v>3</v>
      </c>
      <c r="E1" s="23" t="s">
        <v>4</v>
      </c>
      <c r="F1" s="23" t="s">
        <v>4</v>
      </c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</row>
    <row r="2" spans="1:52" s="10" customFormat="1" ht="15.95" customHeight="1" x14ac:dyDescent="0.15">
      <c r="A2" s="3"/>
      <c r="B2" s="10" t="s">
        <v>5</v>
      </c>
      <c r="C2" s="11">
        <v>43243</v>
      </c>
      <c r="D2" s="11">
        <v>43243</v>
      </c>
      <c r="E2" s="11">
        <v>43368</v>
      </c>
      <c r="F2" s="11">
        <v>43368</v>
      </c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</row>
    <row r="3" spans="1:52" s="17" customFormat="1" ht="15.95" customHeight="1" x14ac:dyDescent="0.15">
      <c r="A3" s="3"/>
      <c r="B3" s="17" t="s">
        <v>6</v>
      </c>
      <c r="C3" s="23">
        <v>1</v>
      </c>
      <c r="D3" s="23">
        <v>1</v>
      </c>
      <c r="E3" s="23">
        <v>20</v>
      </c>
      <c r="F3" s="23">
        <v>20</v>
      </c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</row>
    <row r="4" spans="1:52" s="9" customFormat="1" ht="15.95" customHeight="1" x14ac:dyDescent="0.15">
      <c r="A4" s="2"/>
      <c r="B4" s="9" t="s">
        <v>7</v>
      </c>
      <c r="C4" s="6">
        <v>1</v>
      </c>
      <c r="D4" s="6">
        <v>1</v>
      </c>
      <c r="E4" s="6">
        <v>20</v>
      </c>
      <c r="F4" s="6">
        <v>20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</row>
    <row r="5" spans="1:52" s="18" customFormat="1" ht="15.95" customHeight="1" x14ac:dyDescent="0.15">
      <c r="A5" s="24" t="s">
        <v>8</v>
      </c>
      <c r="B5" s="24" t="s">
        <v>9</v>
      </c>
      <c r="C5" s="25">
        <f>100-MIN(5,COUNTIF($C6:$CV6,"&lt;"&amp;C6))-MIN(5,COUNTIF($C7:$CV7,"&lt;"&amp;C7))-MIN(5,COUNTIF($C8:$CV8,"&lt;"&amp;C8))-MIN(5,COUNTIF($C9:$CV9,"&lt;"&amp;C9))-MIN(5,COUNTIF($C10:$CV10,"&lt;"&amp;C10))-MIN(5,COUNTIF($C11:$CV11,"&lt;"&amp;C11))-MIN(5,COUNTIF($C12:$CV12,"&lt;"&amp;C12))-MIN(5,COUNTIF($C13:$CV13,"&lt;"&amp;C13))-MIN(5,COUNTIF($C14:$CV14,"&lt;"&amp;C14))-MIN(5,COUNTIF($C15:$CV15,"&lt;"&amp;C15))-MIN(5,COUNTIF($C16:$CV16,"&lt;"&amp;C16))-MIN(5,COUNTIF($C17:$CV17,"&lt;"&amp;C17))-MIN(5,COUNTIF($C18:$CV18,"&lt;"&amp;C18))-MIN(5,COUNTIF($C19:$CV19,"&lt;"&amp;C19))-MIN(5,COUNTIF($C20:$CV20,"&lt;"&amp;C20))-MIN(5,COUNTIF($C21:$CV21,"&lt;"&amp;C21))-MIN(5,COUNTIF($C22:$CV22,"&lt;"&amp;C22))-MIN(5,COUNTIF($C23:$CV23,"&lt;"&amp;C23))-MIN(5,COUNTIF($C24:$CV24,"&lt;"&amp;C24))-MIN(5,COUNTIF($C25:$CV25,"&lt;"&amp;C25))</f>
        <v>100</v>
      </c>
      <c r="D5" s="25">
        <f>100-MIN(5,COUNTIF($C6:$CV6,"&lt;"&amp;D6))-MIN(5,COUNTIF($C7:$CV7,"&lt;"&amp;D7))-MIN(5,COUNTIF($C8:$CV8,"&lt;"&amp;D8))-MIN(5,COUNTIF($C9:$CV9,"&lt;"&amp;D9))-MIN(5,COUNTIF($C10:$CV10,"&lt;"&amp;D10))-MIN(5,COUNTIF($C11:$CV11,"&lt;"&amp;D11))-MIN(5,COUNTIF($C12:$CV12,"&lt;"&amp;D12))-MIN(5,COUNTIF($C13:$CV13,"&lt;"&amp;D13))-MIN(5,COUNTIF($C14:$CV14,"&lt;"&amp;D14))-MIN(5,COUNTIF($C15:$CV15,"&lt;"&amp;D15))-MIN(5,COUNTIF($C16:$CV16,"&lt;"&amp;D16))-MIN(5,COUNTIF($C17:$CV17,"&lt;"&amp;D17))-MIN(5,COUNTIF($C18:$CV18,"&lt;"&amp;D18))-MIN(5,COUNTIF($C19:$CV19,"&lt;"&amp;D19))-MIN(5,COUNTIF($C20:$CV20,"&lt;"&amp;D20))-MIN(5,COUNTIF($C21:$CV21,"&lt;"&amp;D21))-MIN(5,COUNTIF($C22:$CV22,"&lt;"&amp;D22))-MIN(5,COUNTIF($C23:$CV23,"&lt;"&amp;D23))-MIN(5,COUNTIF($C24:$CV24,"&lt;"&amp;D24))-MIN(5,COUNTIF($C25:$CV25,"&lt;"&amp;D25))</f>
        <v>67</v>
      </c>
      <c r="E5" s="25">
        <f>100-MIN(5,COUNTIF($C6:$CV6,"&lt;"&amp;E6))-MIN(5,COUNTIF($C7:$CV7,"&lt;"&amp;E7))-MIN(5,COUNTIF($C8:$CV8,"&lt;"&amp;E8))-MIN(5,COUNTIF($C9:$CV9,"&lt;"&amp;E9))-MIN(5,COUNTIF($C10:$CV10,"&lt;"&amp;E10))-MIN(5,COUNTIF($C11:$CV11,"&lt;"&amp;E11))-MIN(5,COUNTIF($C12:$CV12,"&lt;"&amp;E12))-MIN(5,COUNTIF($C13:$CV13,"&lt;"&amp;E13))-MIN(5,COUNTIF($C14:$CV14,"&lt;"&amp;E14))-MIN(5,COUNTIF($C15:$CV15,"&lt;"&amp;E15))-MIN(5,COUNTIF($C16:$CV16,"&lt;"&amp;E16))-MIN(5,COUNTIF($C17:$CV17,"&lt;"&amp;E17))-MIN(5,COUNTIF($C18:$CV18,"&lt;"&amp;E18))-MIN(5,COUNTIF($C19:$CV19,"&lt;"&amp;E19))-MIN(5,COUNTIF($C20:$CV20,"&lt;"&amp;E20))-MIN(5,COUNTIF($C21:$CV21,"&lt;"&amp;E21))-MIN(5,COUNTIF($C22:$CV22,"&lt;"&amp;E22))-MIN(5,COUNTIF($C23:$CV23,"&lt;"&amp;E23))-MIN(5,COUNTIF($C24:$CV24,"&lt;"&amp;E24))-MIN(5,COUNTIF($C25:$CV25,"&lt;"&amp;E25))</f>
        <v>67</v>
      </c>
      <c r="F5" s="25">
        <f>100-MIN(5,COUNTIF($C6:$CV6,"&lt;"&amp;F6))-MIN(5,COUNTIF($C7:$CV7,"&lt;"&amp;F7))-MIN(5,COUNTIF($C8:$CV8,"&lt;"&amp;F8))-MIN(5,COUNTIF($C9:$CV9,"&lt;"&amp;F9))-MIN(5,COUNTIF($C10:$CV10,"&lt;"&amp;F10))-MIN(5,COUNTIF($C11:$CV11,"&lt;"&amp;F11))-MIN(5,COUNTIF($C12:$CV12,"&lt;"&amp;F12))-MIN(5,COUNTIF($C13:$CV13,"&lt;"&amp;F13))-MIN(5,COUNTIF($C14:$CV14,"&lt;"&amp;F14))-MIN(5,COUNTIF($C15:$CV15,"&lt;"&amp;F15))-MIN(5,COUNTIF($C16:$CV16,"&lt;"&amp;F16))-MIN(5,COUNTIF($C17:$CV17,"&lt;"&amp;F17))-MIN(5,COUNTIF($C18:$CV18,"&lt;"&amp;F18))-MIN(5,COUNTIF($C19:$CV19,"&lt;"&amp;F19))-MIN(5,COUNTIF($C20:$CV20,"&lt;"&amp;F20))-MIN(5,COUNTIF($C21:$CV21,"&lt;"&amp;F21))-MIN(5,COUNTIF($C22:$CV22,"&lt;"&amp;F22))-MIN(5,COUNTIF($C23:$CV23,"&lt;"&amp;F23))-MIN(5,COUNTIF($C24:$CV24,"&lt;"&amp;F24))-MIN(5,COUNTIF($C25:$CV25,"&lt;"&amp;F25))</f>
        <v>65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</row>
    <row r="6" spans="1:52" ht="15.95" customHeight="1" x14ac:dyDescent="0.15">
      <c r="A6" s="8">
        <f t="shared" ref="A6:A25" si="0">MIN($C6:$CV6)</f>
        <v>425486</v>
      </c>
      <c r="B6" s="8" t="s">
        <v>10</v>
      </c>
      <c r="C6" s="5">
        <v>425486</v>
      </c>
      <c r="D6" s="5">
        <v>425486</v>
      </c>
      <c r="E6" s="5">
        <v>425486</v>
      </c>
      <c r="F6" s="5">
        <v>425486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</row>
    <row r="7" spans="1:52" s="19" customFormat="1" ht="15.95" customHeight="1" x14ac:dyDescent="0.15">
      <c r="A7" s="26">
        <f t="shared" si="0"/>
        <v>6222839</v>
      </c>
      <c r="B7" s="26" t="s">
        <v>11</v>
      </c>
      <c r="C7" s="27">
        <v>6222839</v>
      </c>
      <c r="D7" s="27">
        <v>9850139</v>
      </c>
      <c r="E7" s="27">
        <v>10537079</v>
      </c>
      <c r="F7" s="27">
        <v>10537079</v>
      </c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</row>
    <row r="8" spans="1:52" ht="15.95" customHeight="1" x14ac:dyDescent="0.15">
      <c r="A8" s="8">
        <f t="shared" si="0"/>
        <v>3688710</v>
      </c>
      <c r="B8" s="8" t="s">
        <v>12</v>
      </c>
      <c r="C8" s="5">
        <v>3688710</v>
      </c>
      <c r="D8" s="5">
        <v>4844310</v>
      </c>
      <c r="E8" s="5">
        <v>5759160</v>
      </c>
      <c r="F8" s="5">
        <v>5216670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</row>
    <row r="9" spans="1:52" s="19" customFormat="1" ht="15.95" customHeight="1" x14ac:dyDescent="0.15">
      <c r="A9" s="27">
        <f t="shared" si="0"/>
        <v>4979130</v>
      </c>
      <c r="B9" s="26" t="s">
        <v>13</v>
      </c>
      <c r="C9" s="27">
        <v>4979130</v>
      </c>
      <c r="D9" s="27">
        <v>6218190</v>
      </c>
      <c r="E9" s="27">
        <v>5711010</v>
      </c>
      <c r="F9" s="27">
        <v>6362640</v>
      </c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</row>
    <row r="10" spans="1:52" ht="15.95" customHeight="1" x14ac:dyDescent="0.15">
      <c r="A10" s="5">
        <f t="shared" si="0"/>
        <v>4824453</v>
      </c>
      <c r="B10" s="8" t="s">
        <v>14</v>
      </c>
      <c r="C10" s="5">
        <v>4824453</v>
      </c>
      <c r="D10" s="5">
        <v>8166063</v>
      </c>
      <c r="E10" s="5">
        <v>7812963</v>
      </c>
      <c r="F10" s="5">
        <v>7472703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</row>
    <row r="11" spans="1:52" s="19" customFormat="1" ht="15.95" customHeight="1" x14ac:dyDescent="0.15">
      <c r="A11" s="27">
        <f t="shared" si="0"/>
        <v>4111890</v>
      </c>
      <c r="B11" s="26" t="s">
        <v>15</v>
      </c>
      <c r="C11" s="27">
        <v>4111890</v>
      </c>
      <c r="D11" s="27">
        <v>4869450</v>
      </c>
      <c r="E11" s="27">
        <v>5485770</v>
      </c>
      <c r="F11" s="27">
        <v>5485770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</row>
    <row r="12" spans="1:52" ht="15.95" customHeight="1" x14ac:dyDescent="0.15">
      <c r="A12" s="5">
        <f t="shared" si="0"/>
        <v>5426010</v>
      </c>
      <c r="B12" s="8" t="s">
        <v>16</v>
      </c>
      <c r="C12" s="5">
        <v>5426010</v>
      </c>
      <c r="D12" s="5">
        <v>9294060</v>
      </c>
      <c r="E12" s="5">
        <v>10202490</v>
      </c>
      <c r="F12" s="5">
        <v>11932680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</row>
    <row r="13" spans="1:52" s="19" customFormat="1" ht="15.95" customHeight="1" x14ac:dyDescent="0.15">
      <c r="A13" s="27">
        <f t="shared" si="0"/>
        <v>13662614</v>
      </c>
      <c r="B13" s="26" t="s">
        <v>17</v>
      </c>
      <c r="C13" s="27">
        <v>13662614</v>
      </c>
      <c r="D13" s="27">
        <v>18833924</v>
      </c>
      <c r="E13" s="27">
        <v>18509714</v>
      </c>
      <c r="F13" s="27">
        <v>18509714</v>
      </c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</row>
    <row r="14" spans="1:52" ht="15.95" customHeight="1" x14ac:dyDescent="0.15">
      <c r="A14" s="5">
        <f t="shared" si="0"/>
        <v>4153716</v>
      </c>
      <c r="B14" s="8" t="s">
        <v>18</v>
      </c>
      <c r="C14" s="5">
        <v>4153716</v>
      </c>
      <c r="D14" s="5">
        <v>5960946</v>
      </c>
      <c r="E14" s="5">
        <v>5550066</v>
      </c>
      <c r="F14" s="5">
        <v>5880696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</row>
    <row r="15" spans="1:52" s="19" customFormat="1" ht="15.95" customHeight="1" x14ac:dyDescent="0.15">
      <c r="A15" s="27">
        <f t="shared" si="0"/>
        <v>6652381</v>
      </c>
      <c r="B15" s="26" t="s">
        <v>19</v>
      </c>
      <c r="C15" s="27">
        <v>6652381</v>
      </c>
      <c r="D15" s="27">
        <v>8803081</v>
      </c>
      <c r="E15" s="27">
        <v>11043661</v>
      </c>
      <c r="F15" s="27">
        <v>11043661</v>
      </c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</row>
    <row r="16" spans="1:52" ht="15.95" customHeight="1" x14ac:dyDescent="0.15">
      <c r="A16" s="5">
        <f t="shared" si="0"/>
        <v>6869149</v>
      </c>
      <c r="B16" s="8" t="s">
        <v>20</v>
      </c>
      <c r="C16" s="5">
        <v>6869149</v>
      </c>
      <c r="D16" s="5">
        <v>9568759</v>
      </c>
      <c r="E16" s="5">
        <v>9931489</v>
      </c>
      <c r="F16" s="5">
        <v>10782139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</row>
    <row r="17" spans="1:52" s="19" customFormat="1" ht="15.95" customHeight="1" x14ac:dyDescent="0.15">
      <c r="A17" s="27">
        <f t="shared" si="0"/>
        <v>2226634</v>
      </c>
      <c r="B17" s="26" t="s">
        <v>21</v>
      </c>
      <c r="C17" s="27">
        <v>2226634</v>
      </c>
      <c r="D17" s="27">
        <v>3533104</v>
      </c>
      <c r="E17" s="27">
        <v>3112594</v>
      </c>
      <c r="F17" s="27">
        <v>4152634</v>
      </c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</row>
    <row r="18" spans="1:52" ht="15.95" customHeight="1" x14ac:dyDescent="0.15">
      <c r="A18" s="5">
        <f t="shared" si="0"/>
        <v>20132943</v>
      </c>
      <c r="B18" s="8" t="s">
        <v>22</v>
      </c>
      <c r="C18" s="5">
        <v>20132943</v>
      </c>
      <c r="D18" s="5">
        <v>29413053</v>
      </c>
      <c r="E18" s="5">
        <v>26735913</v>
      </c>
      <c r="F18" s="5">
        <v>28722903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</row>
    <row r="19" spans="1:52" s="19" customFormat="1" ht="15.95" customHeight="1" x14ac:dyDescent="0.15">
      <c r="A19" s="27">
        <f t="shared" si="0"/>
        <v>17788848</v>
      </c>
      <c r="B19" s="26" t="s">
        <v>23</v>
      </c>
      <c r="C19" s="27">
        <v>17788848</v>
      </c>
      <c r="D19" s="27">
        <v>33029928</v>
      </c>
      <c r="E19" s="27">
        <v>29328798</v>
      </c>
      <c r="F19" s="27">
        <v>27797628</v>
      </c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</row>
    <row r="20" spans="1:52" ht="15.95" customHeight="1" x14ac:dyDescent="0.15">
      <c r="A20" s="5">
        <f t="shared" si="0"/>
        <v>18930941</v>
      </c>
      <c r="B20" s="8" t="s">
        <v>24</v>
      </c>
      <c r="C20" s="5">
        <v>18930941</v>
      </c>
      <c r="D20" s="5">
        <v>29536781</v>
      </c>
      <c r="E20" s="5">
        <v>29960501</v>
      </c>
      <c r="F20" s="5">
        <v>28467851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s="19" customFormat="1" ht="15.95" customHeight="1" x14ac:dyDescent="0.15">
      <c r="A21" s="27">
        <f t="shared" si="0"/>
        <v>4089743</v>
      </c>
      <c r="B21" s="26" t="s">
        <v>25</v>
      </c>
      <c r="C21" s="27">
        <v>4089743</v>
      </c>
      <c r="D21" s="27">
        <v>7370363</v>
      </c>
      <c r="E21" s="27">
        <v>7986683</v>
      </c>
      <c r="F21" s="27">
        <v>7986683</v>
      </c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</row>
    <row r="22" spans="1:52" ht="15.95" customHeight="1" x14ac:dyDescent="0.15">
      <c r="A22" s="5">
        <f t="shared" si="0"/>
        <v>3617251</v>
      </c>
      <c r="B22" s="8" t="s">
        <v>26</v>
      </c>
      <c r="C22" s="5">
        <v>3617251</v>
      </c>
      <c r="D22" s="5">
        <v>3617251</v>
      </c>
      <c r="E22" s="5">
        <v>3617251</v>
      </c>
      <c r="F22" s="5">
        <v>3617251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s="19" customFormat="1" ht="15.95" customHeight="1" x14ac:dyDescent="0.15">
      <c r="A23" s="27">
        <f t="shared" si="0"/>
        <v>6848628</v>
      </c>
      <c r="B23" s="26" t="s">
        <v>27</v>
      </c>
      <c r="C23" s="27">
        <v>6848628</v>
      </c>
      <c r="D23" s="27">
        <v>8864508</v>
      </c>
      <c r="E23" s="27">
        <v>10893228</v>
      </c>
      <c r="F23" s="27">
        <v>9047478</v>
      </c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</row>
    <row r="24" spans="1:52" ht="15.95" customHeight="1" x14ac:dyDescent="0.15">
      <c r="A24" s="5">
        <f t="shared" si="0"/>
        <v>3708944</v>
      </c>
      <c r="B24" s="8" t="s">
        <v>28</v>
      </c>
      <c r="C24" s="5">
        <v>3708944</v>
      </c>
      <c r="D24" s="5">
        <v>6938204</v>
      </c>
      <c r="E24" s="5">
        <v>6684614</v>
      </c>
      <c r="F24" s="5">
        <v>6684614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s="19" customFormat="1" ht="15.95" customHeight="1" x14ac:dyDescent="0.15">
      <c r="A25" s="28">
        <f t="shared" si="0"/>
        <v>1467925</v>
      </c>
      <c r="B25" s="29" t="s">
        <v>29</v>
      </c>
      <c r="C25" s="28">
        <v>1467925</v>
      </c>
      <c r="D25" s="28">
        <v>1721515</v>
      </c>
      <c r="E25" s="28">
        <v>1917325</v>
      </c>
      <c r="F25" s="28">
        <v>1917325</v>
      </c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</row>
    <row r="27" spans="1:52" s="20" customFormat="1" ht="15.95" customHeight="1" x14ac:dyDescent="0.15">
      <c r="A27" s="4" t="s">
        <v>30</v>
      </c>
      <c r="B27" s="20" t="s">
        <v>31</v>
      </c>
      <c r="C27" s="30" t="s">
        <v>32</v>
      </c>
      <c r="D27" s="30" t="s">
        <v>33</v>
      </c>
      <c r="E27" s="30" t="s">
        <v>4</v>
      </c>
      <c r="F27" s="30" t="s">
        <v>4</v>
      </c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</row>
    <row r="28" spans="1:52" s="12" customFormat="1" ht="15.95" customHeight="1" x14ac:dyDescent="0.15">
      <c r="A28" s="1"/>
      <c r="B28" s="12" t="s">
        <v>34</v>
      </c>
      <c r="C28" s="14">
        <v>43243</v>
      </c>
      <c r="D28" s="14">
        <v>43243</v>
      </c>
      <c r="E28" s="14">
        <v>43368</v>
      </c>
      <c r="F28" s="14">
        <v>43368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</row>
    <row r="29" spans="1:52" s="21" customFormat="1" ht="15.95" customHeight="1" x14ac:dyDescent="0.15">
      <c r="A29" s="1"/>
      <c r="B29" s="21" t="s">
        <v>35</v>
      </c>
      <c r="C29" s="28">
        <v>1</v>
      </c>
      <c r="D29" s="28">
        <v>1</v>
      </c>
      <c r="E29" s="28">
        <v>20</v>
      </c>
      <c r="F29" s="28">
        <v>20</v>
      </c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</row>
    <row r="30" spans="1:52" s="12" customFormat="1" ht="15.95" customHeight="1" x14ac:dyDescent="0.15">
      <c r="A30" s="1"/>
      <c r="B30" s="12" t="s">
        <v>36</v>
      </c>
      <c r="C30" s="13">
        <v>1</v>
      </c>
      <c r="D30" s="13">
        <v>1</v>
      </c>
      <c r="E30" s="13">
        <v>20</v>
      </c>
      <c r="F30" s="13">
        <v>20</v>
      </c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</row>
    <row r="31" spans="1:52" s="22" customFormat="1" ht="15.95" customHeight="1" x14ac:dyDescent="0.15">
      <c r="A31" s="31" t="s">
        <v>37</v>
      </c>
      <c r="B31" s="24" t="s">
        <v>38</v>
      </c>
      <c r="C31" s="31">
        <f>100-MIN(5,COUNTIF($C32:$CV32,"&lt;"&amp;C32))-MIN(5,COUNTIF($C33:$CV33,"&lt;"&amp;C33))-MIN(5,COUNTIF($C34:$CV34,"&lt;"&amp;C34))-MIN(5,COUNTIF($C35:$CV35,"&lt;"&amp;C35))-MIN(5,COUNTIF($C36:$CV36,"&lt;"&amp;C36))-MIN(5,COUNTIF($C37:$CV37,"&lt;"&amp;C37))-MIN(5,COUNTIF($C38:$CV38,"&lt;"&amp;C38))-MIN(5,COUNTIF($C39:$CV39,"&lt;"&amp;C39))-MIN(5,COUNTIF($C40:$CV40,"&lt;"&amp;C40))-MIN(5,COUNTIF($C41:$CV41,"&lt;"&amp;C41))-MIN(5,COUNTIF($C42:$CV42,"&lt;"&amp;C42))-MIN(5,COUNTIF($C43:$CV43,"&lt;"&amp;C43))-MIN(5,COUNTIF($C44:$CV44,"&lt;"&amp;C44))-MIN(5,COUNTIF($C45:$CV45,"&lt;"&amp;C45))-MIN(5,COUNTIF($C46:$CV46,"&lt;"&amp;C46))-MIN(5,COUNTIF($C47:$CV47,"&lt;"&amp;C47))-MIN(5,COUNTIF($C48:$CV48,"&lt;"&amp;C48))-MIN(5,COUNTIF($C49:$CV49,"&lt;"&amp;C49))-MIN(5,COUNTIF($C50:$CV50,"&lt;"&amp;C50))-MIN(5,COUNTIF($C51:$CV51,"&lt;"&amp;C51))</f>
        <v>100</v>
      </c>
      <c r="D31" s="31">
        <f>100-MIN(5,COUNTIF($C32:$CV32,"&lt;"&amp;D32))-MIN(5,COUNTIF($C33:$CV33,"&lt;"&amp;D33))-MIN(5,COUNTIF($C34:$CV34,"&lt;"&amp;D34))-MIN(5,COUNTIF($C35:$CV35,"&lt;"&amp;D35))-MIN(5,COUNTIF($C36:$CV36,"&lt;"&amp;D36))-MIN(5,COUNTIF($C37:$CV37,"&lt;"&amp;D37))-MIN(5,COUNTIF($C38:$CV38,"&lt;"&amp;D38))-MIN(5,COUNTIF($C39:$CV39,"&lt;"&amp;D39))-MIN(5,COUNTIF($C40:$CV40,"&lt;"&amp;D40))-MIN(5,COUNTIF($C41:$CV41,"&lt;"&amp;D41))-MIN(5,COUNTIF($C42:$CV42,"&lt;"&amp;D42))-MIN(5,COUNTIF($C43:$CV43,"&lt;"&amp;D43))-MIN(5,COUNTIF($C44:$CV44,"&lt;"&amp;D44))-MIN(5,COUNTIF($C45:$CV45,"&lt;"&amp;D45))-MIN(5,COUNTIF($C46:$CV46,"&lt;"&amp;D46))-MIN(5,COUNTIF($C47:$CV47,"&lt;"&amp;D47))-MIN(5,COUNTIF($C48:$CV48,"&lt;"&amp;D48))-MIN(5,COUNTIF($C49:$CV49,"&lt;"&amp;D49))-MIN(5,COUNTIF($C50:$CV50,"&lt;"&amp;D50))-MIN(5,COUNTIF($C51:$CV51,"&lt;"&amp;D51))</f>
        <v>67</v>
      </c>
      <c r="E31" s="31">
        <f>100-MIN(5,COUNTIF($C32:$CV32,"&lt;"&amp;E32))-MIN(5,COUNTIF($C33:$CV33,"&lt;"&amp;E33))-MIN(5,COUNTIF($C34:$CV34,"&lt;"&amp;E34))-MIN(5,COUNTIF($C35:$CV35,"&lt;"&amp;E35))-MIN(5,COUNTIF($C36:$CV36,"&lt;"&amp;E36))-MIN(5,COUNTIF($C37:$CV37,"&lt;"&amp;E37))-MIN(5,COUNTIF($C38:$CV38,"&lt;"&amp;E38))-MIN(5,COUNTIF($C39:$CV39,"&lt;"&amp;E39))-MIN(5,COUNTIF($C40:$CV40,"&lt;"&amp;E40))-MIN(5,COUNTIF($C41:$CV41,"&lt;"&amp;E41))-MIN(5,COUNTIF($C42:$CV42,"&lt;"&amp;E42))-MIN(5,COUNTIF($C43:$CV43,"&lt;"&amp;E43))-MIN(5,COUNTIF($C44:$CV44,"&lt;"&amp;E44))-MIN(5,COUNTIF($C45:$CV45,"&lt;"&amp;E45))-MIN(5,COUNTIF($C46:$CV46,"&lt;"&amp;E46))-MIN(5,COUNTIF($C47:$CV47,"&lt;"&amp;E47))-MIN(5,COUNTIF($C48:$CV48,"&lt;"&amp;E48))-MIN(5,COUNTIF($C49:$CV49,"&lt;"&amp;E49))-MIN(5,COUNTIF($C50:$CV50,"&lt;"&amp;E50))-MIN(5,COUNTIF($C51:$CV51,"&lt;"&amp;E51))</f>
        <v>67</v>
      </c>
      <c r="F31" s="31">
        <f>100-MIN(5,COUNTIF($C32:$CV32,"&lt;"&amp;F32))-MIN(5,COUNTIF($C33:$CV33,"&lt;"&amp;F33))-MIN(5,COUNTIF($C34:$CV34,"&lt;"&amp;F34))-MIN(5,COUNTIF($C35:$CV35,"&lt;"&amp;F35))-MIN(5,COUNTIF($C36:$CV36,"&lt;"&amp;F36))-MIN(5,COUNTIF($C37:$CV37,"&lt;"&amp;F37))-MIN(5,COUNTIF($C38:$CV38,"&lt;"&amp;F38))-MIN(5,COUNTIF($C39:$CV39,"&lt;"&amp;F39))-MIN(5,COUNTIF($C40:$CV40,"&lt;"&amp;F40))-MIN(5,COUNTIF($C41:$CV41,"&lt;"&amp;F41))-MIN(5,COUNTIF($C42:$CV42,"&lt;"&amp;F42))-MIN(5,COUNTIF($C43:$CV43,"&lt;"&amp;F43))-MIN(5,COUNTIF($C44:$CV44,"&lt;"&amp;F44))-MIN(5,COUNTIF($C45:$CV45,"&lt;"&amp;F45))-MIN(5,COUNTIF($C46:$CV46,"&lt;"&amp;F46))-MIN(5,COUNTIF($C47:$CV47,"&lt;"&amp;F47))-MIN(5,COUNTIF($C48:$CV48,"&lt;"&amp;F48))-MIN(5,COUNTIF($C49:$CV49,"&lt;"&amp;F49))-MIN(5,COUNTIF($C50:$CV50,"&lt;"&amp;F50))-MIN(5,COUNTIF($C51:$CV51,"&lt;"&amp;F51))</f>
        <v>65</v>
      </c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</row>
    <row r="32" spans="1:52" ht="15.95" customHeight="1" x14ac:dyDescent="0.15">
      <c r="A32" s="7">
        <f t="shared" ref="A32:A51" si="1">MIN($C32:$CV32)</f>
        <v>425486</v>
      </c>
      <c r="B32" s="8" t="s">
        <v>39</v>
      </c>
      <c r="C32" s="5">
        <v>425486</v>
      </c>
      <c r="D32" s="5">
        <v>425486</v>
      </c>
      <c r="E32" s="5">
        <v>425486</v>
      </c>
      <c r="F32" s="5">
        <v>425486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s="19" customFormat="1" ht="15.95" customHeight="1" x14ac:dyDescent="0.15">
      <c r="A33" s="27">
        <f t="shared" si="1"/>
        <v>6222839</v>
      </c>
      <c r="B33" s="26" t="s">
        <v>40</v>
      </c>
      <c r="C33" s="27">
        <v>6222839</v>
      </c>
      <c r="D33" s="27">
        <v>9850139</v>
      </c>
      <c r="E33" s="27">
        <v>10537079</v>
      </c>
      <c r="F33" s="27">
        <v>10537079</v>
      </c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</row>
    <row r="34" spans="1:52" ht="15.95" customHeight="1" x14ac:dyDescent="0.15">
      <c r="A34" s="5">
        <f t="shared" si="1"/>
        <v>3688710</v>
      </c>
      <c r="B34" s="8" t="s">
        <v>41</v>
      </c>
      <c r="C34" s="5">
        <v>3688710</v>
      </c>
      <c r="D34" s="5">
        <v>4844310</v>
      </c>
      <c r="E34" s="5">
        <v>5759160</v>
      </c>
      <c r="F34" s="5">
        <v>5216670</v>
      </c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s="19" customFormat="1" ht="15.95" customHeight="1" x14ac:dyDescent="0.15">
      <c r="A35" s="27">
        <f t="shared" si="1"/>
        <v>4979130</v>
      </c>
      <c r="B35" s="26" t="s">
        <v>42</v>
      </c>
      <c r="C35" s="27">
        <v>4979130</v>
      </c>
      <c r="D35" s="27">
        <v>6218190</v>
      </c>
      <c r="E35" s="27">
        <v>5711010</v>
      </c>
      <c r="F35" s="27">
        <v>6362640</v>
      </c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</row>
    <row r="36" spans="1:52" ht="15.95" customHeight="1" x14ac:dyDescent="0.15">
      <c r="A36" s="5">
        <f t="shared" si="1"/>
        <v>4824453</v>
      </c>
      <c r="B36" s="8" t="s">
        <v>43</v>
      </c>
      <c r="C36" s="5">
        <v>4824453</v>
      </c>
      <c r="D36" s="5">
        <v>8166063</v>
      </c>
      <c r="E36" s="5">
        <v>7812963</v>
      </c>
      <c r="F36" s="5">
        <v>7472703</v>
      </c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s="19" customFormat="1" ht="15.95" customHeight="1" x14ac:dyDescent="0.15">
      <c r="A37" s="27">
        <f t="shared" si="1"/>
        <v>4111890</v>
      </c>
      <c r="B37" s="26" t="s">
        <v>44</v>
      </c>
      <c r="C37" s="27">
        <v>4111890</v>
      </c>
      <c r="D37" s="27">
        <v>4869450</v>
      </c>
      <c r="E37" s="27">
        <v>5485770</v>
      </c>
      <c r="F37" s="27">
        <v>5485770</v>
      </c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</row>
    <row r="38" spans="1:52" ht="15.95" customHeight="1" x14ac:dyDescent="0.15">
      <c r="A38" s="5">
        <f t="shared" si="1"/>
        <v>5426010</v>
      </c>
      <c r="B38" s="8" t="s">
        <v>45</v>
      </c>
      <c r="C38" s="5">
        <v>5426010</v>
      </c>
      <c r="D38" s="5">
        <v>9294060</v>
      </c>
      <c r="E38" s="5">
        <v>10202490</v>
      </c>
      <c r="F38" s="5">
        <v>11932680</v>
      </c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s="19" customFormat="1" ht="15.95" customHeight="1" x14ac:dyDescent="0.15">
      <c r="A39" s="27">
        <f t="shared" si="1"/>
        <v>13662614</v>
      </c>
      <c r="B39" s="26" t="s">
        <v>46</v>
      </c>
      <c r="C39" s="27">
        <v>13662614</v>
      </c>
      <c r="D39" s="27">
        <v>18833924</v>
      </c>
      <c r="E39" s="27">
        <v>18509714</v>
      </c>
      <c r="F39" s="27">
        <v>18509714</v>
      </c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</row>
    <row r="40" spans="1:52" ht="15.95" customHeight="1" x14ac:dyDescent="0.15">
      <c r="A40" s="5">
        <f t="shared" si="1"/>
        <v>4153716</v>
      </c>
      <c r="B40" s="8" t="s">
        <v>47</v>
      </c>
      <c r="C40" s="5">
        <v>4153716</v>
      </c>
      <c r="D40" s="5">
        <v>5960946</v>
      </c>
      <c r="E40" s="5">
        <v>5550066</v>
      </c>
      <c r="F40" s="5">
        <v>5880696</v>
      </c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</row>
    <row r="41" spans="1:52" s="19" customFormat="1" ht="15.95" customHeight="1" x14ac:dyDescent="0.15">
      <c r="A41" s="27">
        <f t="shared" si="1"/>
        <v>6652381</v>
      </c>
      <c r="B41" s="26" t="s">
        <v>48</v>
      </c>
      <c r="C41" s="27">
        <v>6652381</v>
      </c>
      <c r="D41" s="27">
        <v>8803081</v>
      </c>
      <c r="E41" s="27">
        <v>11043661</v>
      </c>
      <c r="F41" s="27">
        <v>11043661</v>
      </c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</row>
    <row r="42" spans="1:52" ht="15.95" customHeight="1" x14ac:dyDescent="0.15">
      <c r="A42" s="5">
        <f t="shared" si="1"/>
        <v>6869149</v>
      </c>
      <c r="B42" s="8" t="s">
        <v>49</v>
      </c>
      <c r="C42" s="5">
        <v>6869149</v>
      </c>
      <c r="D42" s="5">
        <v>9568759</v>
      </c>
      <c r="E42" s="5">
        <v>9931489</v>
      </c>
      <c r="F42" s="5">
        <v>10782139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</row>
    <row r="43" spans="1:52" s="19" customFormat="1" ht="15.95" customHeight="1" x14ac:dyDescent="0.15">
      <c r="A43" s="27">
        <f t="shared" si="1"/>
        <v>2226634</v>
      </c>
      <c r="B43" s="26" t="s">
        <v>50</v>
      </c>
      <c r="C43" s="27">
        <v>2226634</v>
      </c>
      <c r="D43" s="27">
        <v>3533104</v>
      </c>
      <c r="E43" s="27">
        <v>3112594</v>
      </c>
      <c r="F43" s="27">
        <v>4152634</v>
      </c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</row>
    <row r="44" spans="1:52" ht="15.95" customHeight="1" x14ac:dyDescent="0.15">
      <c r="A44" s="5">
        <f t="shared" si="1"/>
        <v>20132943</v>
      </c>
      <c r="B44" s="8" t="s">
        <v>51</v>
      </c>
      <c r="C44" s="5">
        <v>20132943</v>
      </c>
      <c r="D44" s="5">
        <v>29413053</v>
      </c>
      <c r="E44" s="5">
        <v>26735913</v>
      </c>
      <c r="F44" s="5">
        <v>28722903</v>
      </c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</row>
    <row r="45" spans="1:52" s="19" customFormat="1" ht="15.95" customHeight="1" x14ac:dyDescent="0.15">
      <c r="A45" s="27">
        <f t="shared" si="1"/>
        <v>17788848</v>
      </c>
      <c r="B45" s="26" t="s">
        <v>52</v>
      </c>
      <c r="C45" s="27">
        <v>17788848</v>
      </c>
      <c r="D45" s="27">
        <v>33029928</v>
      </c>
      <c r="E45" s="27">
        <v>29328798</v>
      </c>
      <c r="F45" s="27">
        <v>27797628</v>
      </c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</row>
    <row r="46" spans="1:52" ht="15.95" customHeight="1" x14ac:dyDescent="0.15">
      <c r="A46" s="5">
        <f t="shared" si="1"/>
        <v>18930941</v>
      </c>
      <c r="B46" s="8" t="s">
        <v>53</v>
      </c>
      <c r="C46" s="5">
        <v>18930941</v>
      </c>
      <c r="D46" s="5">
        <v>29536781</v>
      </c>
      <c r="E46" s="5">
        <v>29960501</v>
      </c>
      <c r="F46" s="5">
        <v>28467851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</row>
    <row r="47" spans="1:52" s="19" customFormat="1" ht="15.95" customHeight="1" x14ac:dyDescent="0.15">
      <c r="A47" s="27">
        <f t="shared" si="1"/>
        <v>4089743</v>
      </c>
      <c r="B47" s="26" t="s">
        <v>54</v>
      </c>
      <c r="C47" s="27">
        <v>4089743</v>
      </c>
      <c r="D47" s="27">
        <v>7370363</v>
      </c>
      <c r="E47" s="27">
        <v>7986683</v>
      </c>
      <c r="F47" s="27">
        <v>7986683</v>
      </c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</row>
    <row r="48" spans="1:52" ht="15.95" customHeight="1" x14ac:dyDescent="0.15">
      <c r="A48" s="5">
        <f t="shared" si="1"/>
        <v>3617251</v>
      </c>
      <c r="B48" s="8" t="s">
        <v>55</v>
      </c>
      <c r="C48" s="5">
        <v>3617251</v>
      </c>
      <c r="D48" s="5">
        <v>3617251</v>
      </c>
      <c r="E48" s="5">
        <v>3617251</v>
      </c>
      <c r="F48" s="5">
        <v>3617251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</row>
    <row r="49" spans="1:52" s="19" customFormat="1" ht="15.95" customHeight="1" x14ac:dyDescent="0.15">
      <c r="A49" s="27">
        <f t="shared" si="1"/>
        <v>6848628</v>
      </c>
      <c r="B49" s="26" t="s">
        <v>56</v>
      </c>
      <c r="C49" s="27">
        <v>6848628</v>
      </c>
      <c r="D49" s="27">
        <v>8864508</v>
      </c>
      <c r="E49" s="27">
        <v>10893228</v>
      </c>
      <c r="F49" s="27">
        <v>9047478</v>
      </c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</row>
    <row r="50" spans="1:52" ht="15.95" customHeight="1" x14ac:dyDescent="0.15">
      <c r="A50" s="5">
        <f t="shared" si="1"/>
        <v>3708944</v>
      </c>
      <c r="B50" s="8" t="s">
        <v>57</v>
      </c>
      <c r="C50" s="5">
        <v>3708944</v>
      </c>
      <c r="D50" s="5">
        <v>6938204</v>
      </c>
      <c r="E50" s="5">
        <v>6684614</v>
      </c>
      <c r="F50" s="5">
        <v>6684614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</row>
    <row r="51" spans="1:52" s="19" customFormat="1" ht="15.95" customHeight="1" x14ac:dyDescent="0.15">
      <c r="A51" s="28">
        <f t="shared" si="1"/>
        <v>1467925</v>
      </c>
      <c r="B51" s="29" t="s">
        <v>58</v>
      </c>
      <c r="C51" s="28">
        <v>1467925</v>
      </c>
      <c r="D51" s="28">
        <v>1721515</v>
      </c>
      <c r="E51" s="28">
        <v>1917325</v>
      </c>
      <c r="F51" s="28">
        <v>1917325</v>
      </c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</row>
    <row r="53" spans="1:52" ht="15.95" customHeight="1" x14ac:dyDescent="0.15">
      <c r="A53" s="16">
        <f t="shared" ref="A53:A72" si="2">(MIN($D32:$CV32)-MIN($D6:$CV6))/MIN($D6:$CV6)</f>
        <v>0</v>
      </c>
      <c r="B53" s="16">
        <f t="shared" ref="B53:B72" si="3">(MIN($D6:$CV6)-$C6)/$C6</f>
        <v>0</v>
      </c>
    </row>
    <row r="54" spans="1:52" ht="15.95" customHeight="1" x14ac:dyDescent="0.15">
      <c r="A54" s="16">
        <f t="shared" si="2"/>
        <v>0</v>
      </c>
      <c r="B54" s="16">
        <f t="shared" si="3"/>
        <v>0.58290114849508401</v>
      </c>
    </row>
    <row r="55" spans="1:52" ht="15.95" customHeight="1" x14ac:dyDescent="0.15">
      <c r="A55" s="16">
        <f t="shared" si="2"/>
        <v>0</v>
      </c>
      <c r="B55" s="16">
        <f t="shared" si="3"/>
        <v>0.31328025244597707</v>
      </c>
    </row>
    <row r="56" spans="1:52" ht="15.95" customHeight="1" x14ac:dyDescent="0.15">
      <c r="A56" s="16">
        <f t="shared" si="2"/>
        <v>0</v>
      </c>
      <c r="B56" s="16">
        <f t="shared" si="3"/>
        <v>0.14698953431623596</v>
      </c>
    </row>
    <row r="57" spans="1:52" ht="15.95" customHeight="1" x14ac:dyDescent="0.15">
      <c r="A57" s="16">
        <f t="shared" si="2"/>
        <v>0</v>
      </c>
      <c r="B57" s="16">
        <f t="shared" si="3"/>
        <v>0.54892233378581989</v>
      </c>
    </row>
    <row r="58" spans="1:52" ht="15.95" customHeight="1" x14ac:dyDescent="0.15">
      <c r="A58" s="16">
        <f t="shared" si="2"/>
        <v>0</v>
      </c>
      <c r="B58" s="16">
        <f t="shared" si="3"/>
        <v>0.18423644601387684</v>
      </c>
    </row>
    <row r="59" spans="1:52" ht="15.95" customHeight="1" x14ac:dyDescent="0.15">
      <c r="A59" s="16">
        <f t="shared" si="2"/>
        <v>0</v>
      </c>
      <c r="B59" s="16">
        <f t="shared" si="3"/>
        <v>0.7128718892888144</v>
      </c>
    </row>
    <row r="60" spans="1:52" ht="15.95" customHeight="1" x14ac:dyDescent="0.15">
      <c r="A60" s="16">
        <f t="shared" si="2"/>
        <v>0</v>
      </c>
      <c r="B60" s="16">
        <f t="shared" si="3"/>
        <v>0.35477105625614541</v>
      </c>
    </row>
    <row r="61" spans="1:52" ht="15.95" customHeight="1" x14ac:dyDescent="0.15">
      <c r="A61" s="16">
        <f t="shared" si="2"/>
        <v>0</v>
      </c>
      <c r="B61" s="16">
        <f t="shared" si="3"/>
        <v>0.33616886662448758</v>
      </c>
    </row>
    <row r="62" spans="1:52" ht="15.95" customHeight="1" x14ac:dyDescent="0.15">
      <c r="A62" s="16">
        <f t="shared" si="2"/>
        <v>0</v>
      </c>
      <c r="B62" s="16">
        <f t="shared" si="3"/>
        <v>0.32329777864496939</v>
      </c>
    </row>
    <row r="63" spans="1:52" ht="15.95" customHeight="1" x14ac:dyDescent="0.15">
      <c r="A63" s="16">
        <f t="shared" si="2"/>
        <v>0</v>
      </c>
      <c r="B63" s="16">
        <f t="shared" si="3"/>
        <v>0.39300501415823125</v>
      </c>
    </row>
    <row r="64" spans="1:52" ht="15.95" customHeight="1" x14ac:dyDescent="0.15">
      <c r="A64" s="16">
        <f t="shared" si="2"/>
        <v>0</v>
      </c>
      <c r="B64" s="16">
        <f t="shared" si="3"/>
        <v>0.39789206488358664</v>
      </c>
    </row>
    <row r="65" spans="1:2" ht="15.95" customHeight="1" x14ac:dyDescent="0.15">
      <c r="A65" s="16">
        <f t="shared" si="2"/>
        <v>0</v>
      </c>
      <c r="B65" s="16">
        <f t="shared" si="3"/>
        <v>0.32796844455378432</v>
      </c>
    </row>
    <row r="66" spans="1:2" ht="15.95" customHeight="1" x14ac:dyDescent="0.15">
      <c r="A66" s="16">
        <f t="shared" si="2"/>
        <v>0</v>
      </c>
      <c r="B66" s="16">
        <f t="shared" si="3"/>
        <v>0.56264351688203751</v>
      </c>
    </row>
    <row r="67" spans="1:2" ht="15.95" customHeight="1" x14ac:dyDescent="0.15">
      <c r="A67" s="16">
        <f t="shared" si="2"/>
        <v>0</v>
      </c>
      <c r="B67" s="16">
        <f t="shared" si="3"/>
        <v>0.50377368985514248</v>
      </c>
    </row>
    <row r="68" spans="1:2" ht="15.95" customHeight="1" x14ac:dyDescent="0.15">
      <c r="A68" s="16">
        <f t="shared" si="2"/>
        <v>0</v>
      </c>
      <c r="B68" s="16">
        <f t="shared" si="3"/>
        <v>0.80215798401024219</v>
      </c>
    </row>
    <row r="69" spans="1:2" ht="15.95" customHeight="1" x14ac:dyDescent="0.15">
      <c r="A69" s="16">
        <f t="shared" si="2"/>
        <v>0</v>
      </c>
      <c r="B69" s="16">
        <f t="shared" si="3"/>
        <v>0</v>
      </c>
    </row>
    <row r="70" spans="1:2" ht="15.95" customHeight="1" x14ac:dyDescent="0.15">
      <c r="A70" s="16">
        <f t="shared" si="2"/>
        <v>0</v>
      </c>
      <c r="B70" s="16">
        <f t="shared" si="3"/>
        <v>0.29434800663724181</v>
      </c>
    </row>
    <row r="71" spans="1:2" ht="15.95" customHeight="1" x14ac:dyDescent="0.15">
      <c r="A71" s="16">
        <f t="shared" si="2"/>
        <v>0</v>
      </c>
      <c r="B71" s="16">
        <f t="shared" si="3"/>
        <v>0.80229574779236357</v>
      </c>
    </row>
    <row r="72" spans="1:2" ht="15.95" customHeight="1" x14ac:dyDescent="0.15">
      <c r="A72" s="16">
        <f t="shared" si="2"/>
        <v>0</v>
      </c>
      <c r="B72" s="16">
        <f t="shared" si="3"/>
        <v>0.17275405759831053</v>
      </c>
    </row>
  </sheetData>
  <autoFilter ref="B1:B35"/>
  <sortState columnSort="1" ref="C27:AZ51">
    <sortCondition descending="1" ref="C31:AZ31"/>
  </sortState>
  <mergeCells count="2">
    <mergeCell ref="A1:A4"/>
    <mergeCell ref="A27:A30"/>
  </mergeCells>
  <phoneticPr fontId="18" type="noConversion"/>
  <conditionalFormatting sqref="C6:AZ6">
    <cfRule type="top10" dxfId="119" priority="120" bottom="1" rank="3"/>
    <cfRule type="top10" dxfId="118" priority="119" bottom="1" rank="2"/>
    <cfRule type="top10" dxfId="117" priority="118" bottom="1" rank="1"/>
  </conditionalFormatting>
  <conditionalFormatting sqref="C7:AZ7">
    <cfRule type="top10" dxfId="116" priority="117" bottom="1" rank="3"/>
    <cfRule type="top10" dxfId="115" priority="116" bottom="1" rank="2"/>
    <cfRule type="top10" dxfId="114" priority="115" bottom="1" rank="1"/>
  </conditionalFormatting>
  <conditionalFormatting sqref="C8:AZ8">
    <cfRule type="top10" dxfId="113" priority="114" bottom="1" rank="3"/>
    <cfRule type="top10" dxfId="112" priority="113" bottom="1" rank="2"/>
    <cfRule type="top10" dxfId="111" priority="112" bottom="1" rank="1"/>
  </conditionalFormatting>
  <conditionalFormatting sqref="C9:AZ9">
    <cfRule type="top10" dxfId="110" priority="111" bottom="1" rank="3"/>
    <cfRule type="top10" dxfId="109" priority="110" bottom="1" rank="2"/>
    <cfRule type="top10" dxfId="108" priority="109" bottom="1" rank="1"/>
  </conditionalFormatting>
  <conditionalFormatting sqref="C10:AZ10">
    <cfRule type="top10" dxfId="107" priority="108" bottom="1" rank="3"/>
    <cfRule type="top10" dxfId="106" priority="107" bottom="1" rank="2"/>
    <cfRule type="top10" dxfId="105" priority="106" bottom="1" rank="1"/>
  </conditionalFormatting>
  <conditionalFormatting sqref="C11:AZ11">
    <cfRule type="top10" dxfId="104" priority="105" bottom="1" rank="3"/>
    <cfRule type="top10" dxfId="103" priority="104" bottom="1" rank="2"/>
    <cfRule type="top10" dxfId="102" priority="103" bottom="1" rank="1"/>
  </conditionalFormatting>
  <conditionalFormatting sqref="C12:AZ12">
    <cfRule type="top10" dxfId="101" priority="102" bottom="1" rank="3"/>
    <cfRule type="top10" dxfId="100" priority="101" bottom="1" rank="2"/>
    <cfRule type="top10" dxfId="99" priority="100" bottom="1" rank="1"/>
  </conditionalFormatting>
  <conditionalFormatting sqref="C13:AZ13">
    <cfRule type="top10" dxfId="98" priority="99" bottom="1" rank="3"/>
    <cfRule type="top10" dxfId="97" priority="98" bottom="1" rank="2"/>
    <cfRule type="top10" dxfId="96" priority="97" bottom="1" rank="1"/>
  </conditionalFormatting>
  <conditionalFormatting sqref="C14:AZ14">
    <cfRule type="top10" dxfId="95" priority="96" bottom="1" rank="3"/>
    <cfRule type="top10" dxfId="94" priority="95" bottom="1" rank="2"/>
    <cfRule type="top10" dxfId="93" priority="94" bottom="1" rank="1"/>
  </conditionalFormatting>
  <conditionalFormatting sqref="C15:AZ15">
    <cfRule type="top10" dxfId="92" priority="93" bottom="1" rank="3"/>
    <cfRule type="top10" dxfId="91" priority="92" bottom="1" rank="2"/>
    <cfRule type="top10" dxfId="90" priority="91" bottom="1" rank="1"/>
  </conditionalFormatting>
  <conditionalFormatting sqref="C16:AZ16">
    <cfRule type="top10" dxfId="89" priority="90" bottom="1" rank="3"/>
    <cfRule type="top10" dxfId="88" priority="89" bottom="1" rank="2"/>
    <cfRule type="top10" dxfId="87" priority="88" bottom="1" rank="1"/>
  </conditionalFormatting>
  <conditionalFormatting sqref="C17:AZ17">
    <cfRule type="top10" dxfId="86" priority="87" bottom="1" rank="3"/>
    <cfRule type="top10" dxfId="85" priority="86" bottom="1" rank="2"/>
    <cfRule type="top10" dxfId="84" priority="85" bottom="1" rank="1"/>
  </conditionalFormatting>
  <conditionalFormatting sqref="C18:AZ18">
    <cfRule type="top10" dxfId="83" priority="84" bottom="1" rank="3"/>
    <cfRule type="top10" dxfId="82" priority="83" bottom="1" rank="2"/>
    <cfRule type="top10" dxfId="81" priority="82" bottom="1" rank="1"/>
  </conditionalFormatting>
  <conditionalFormatting sqref="C19:AZ19">
    <cfRule type="top10" dxfId="80" priority="81" bottom="1" rank="3"/>
    <cfRule type="top10" dxfId="79" priority="80" bottom="1" rank="2"/>
    <cfRule type="top10" dxfId="78" priority="79" bottom="1" rank="1"/>
  </conditionalFormatting>
  <conditionalFormatting sqref="C20:AZ20">
    <cfRule type="top10" dxfId="77" priority="78" bottom="1" rank="3"/>
    <cfRule type="top10" dxfId="76" priority="77" bottom="1" rank="2"/>
    <cfRule type="top10" dxfId="75" priority="76" bottom="1" rank="1"/>
  </conditionalFormatting>
  <conditionalFormatting sqref="C21:AZ21">
    <cfRule type="top10" dxfId="74" priority="75" bottom="1" rank="3"/>
    <cfRule type="top10" dxfId="73" priority="74" bottom="1" rank="2"/>
    <cfRule type="top10" dxfId="72" priority="73" bottom="1" rank="1"/>
  </conditionalFormatting>
  <conditionalFormatting sqref="C22:AZ22">
    <cfRule type="top10" dxfId="71" priority="72" bottom="1" rank="3"/>
    <cfRule type="top10" dxfId="70" priority="71" bottom="1" rank="2"/>
    <cfRule type="top10" dxfId="69" priority="70" bottom="1" rank="1"/>
  </conditionalFormatting>
  <conditionalFormatting sqref="C23:AZ23">
    <cfRule type="top10" dxfId="68" priority="69" bottom="1" rank="3"/>
    <cfRule type="top10" dxfId="67" priority="68" bottom="1" rank="2"/>
    <cfRule type="top10" dxfId="66" priority="67" bottom="1" rank="1"/>
  </conditionalFormatting>
  <conditionalFormatting sqref="C24:AZ24">
    <cfRule type="top10" dxfId="65" priority="66" bottom="1" rank="3"/>
    <cfRule type="top10" dxfId="64" priority="65" bottom="1" rank="2"/>
    <cfRule type="top10" dxfId="63" priority="64" bottom="1" rank="1"/>
  </conditionalFormatting>
  <conditionalFormatting sqref="C25:AZ25">
    <cfRule type="top10" dxfId="62" priority="63" bottom="1" rank="3"/>
    <cfRule type="top10" dxfId="61" priority="62" bottom="1" rank="2"/>
    <cfRule type="top10" dxfId="60" priority="61" bottom="1" rank="1"/>
  </conditionalFormatting>
  <conditionalFormatting sqref="C32:AZ32">
    <cfRule type="top10" dxfId="59" priority="60" bottom="1" rank="3"/>
  </conditionalFormatting>
  <conditionalFormatting sqref="C32:AZ32">
    <cfRule type="top10" dxfId="58" priority="59" bottom="1" rank="2"/>
  </conditionalFormatting>
  <conditionalFormatting sqref="C32:AZ32">
    <cfRule type="top10" dxfId="57" priority="58" bottom="1" rank="1"/>
  </conditionalFormatting>
  <conditionalFormatting sqref="C33:AZ33">
    <cfRule type="top10" dxfId="56" priority="57" bottom="1" rank="3"/>
  </conditionalFormatting>
  <conditionalFormatting sqref="C33:AZ33">
    <cfRule type="top10" dxfId="55" priority="56" bottom="1" rank="2"/>
  </conditionalFormatting>
  <conditionalFormatting sqref="C33:AZ33">
    <cfRule type="top10" dxfId="54" priority="55" bottom="1" rank="1"/>
  </conditionalFormatting>
  <conditionalFormatting sqref="C34:AZ34">
    <cfRule type="top10" dxfId="53" priority="54" bottom="1" rank="3"/>
  </conditionalFormatting>
  <conditionalFormatting sqref="C34:AZ34">
    <cfRule type="top10" dxfId="52" priority="53" bottom="1" rank="2"/>
  </conditionalFormatting>
  <conditionalFormatting sqref="C34:AZ34">
    <cfRule type="top10" dxfId="51" priority="52" bottom="1" rank="1"/>
  </conditionalFormatting>
  <conditionalFormatting sqref="C35:AZ35">
    <cfRule type="top10" dxfId="50" priority="51" bottom="1" rank="3"/>
  </conditionalFormatting>
  <conditionalFormatting sqref="C35:AZ35">
    <cfRule type="top10" dxfId="49" priority="50" bottom="1" rank="2"/>
  </conditionalFormatting>
  <conditionalFormatting sqref="C35:AZ35">
    <cfRule type="top10" dxfId="48" priority="49" bottom="1" rank="1"/>
  </conditionalFormatting>
  <conditionalFormatting sqref="C36:AZ36">
    <cfRule type="top10" dxfId="47" priority="48" bottom="1" rank="3"/>
  </conditionalFormatting>
  <conditionalFormatting sqref="C36:AZ36">
    <cfRule type="top10" dxfId="46" priority="47" bottom="1" rank="2"/>
  </conditionalFormatting>
  <conditionalFormatting sqref="C36:AZ36">
    <cfRule type="top10" dxfId="45" priority="46" bottom="1" rank="1"/>
  </conditionalFormatting>
  <conditionalFormatting sqref="C37:AZ37">
    <cfRule type="top10" dxfId="44" priority="45" bottom="1" rank="3"/>
  </conditionalFormatting>
  <conditionalFormatting sqref="C37:AZ37">
    <cfRule type="top10" dxfId="43" priority="44" bottom="1" rank="2"/>
  </conditionalFormatting>
  <conditionalFormatting sqref="C37:AZ37">
    <cfRule type="top10" dxfId="42" priority="43" bottom="1" rank="1"/>
  </conditionalFormatting>
  <conditionalFormatting sqref="C38:AZ38">
    <cfRule type="top10" dxfId="41" priority="42" bottom="1" rank="3"/>
  </conditionalFormatting>
  <conditionalFormatting sqref="C38:AZ38">
    <cfRule type="top10" dxfId="40" priority="41" bottom="1" rank="2"/>
  </conditionalFormatting>
  <conditionalFormatting sqref="C38:AZ38">
    <cfRule type="top10" dxfId="39" priority="40" bottom="1" rank="1"/>
  </conditionalFormatting>
  <conditionalFormatting sqref="C39:AZ39">
    <cfRule type="top10" dxfId="38" priority="39" bottom="1" rank="3"/>
  </conditionalFormatting>
  <conditionalFormatting sqref="C39:AZ39">
    <cfRule type="top10" dxfId="37" priority="38" bottom="1" rank="2"/>
  </conditionalFormatting>
  <conditionalFormatting sqref="C39:AZ39">
    <cfRule type="top10" dxfId="36" priority="37" bottom="1" rank="1"/>
  </conditionalFormatting>
  <conditionalFormatting sqref="C40:AZ40">
    <cfRule type="top10" dxfId="35" priority="36" bottom="1" rank="3"/>
  </conditionalFormatting>
  <conditionalFormatting sqref="C40:AZ40">
    <cfRule type="top10" dxfId="34" priority="35" bottom="1" rank="2"/>
  </conditionalFormatting>
  <conditionalFormatting sqref="C40:AZ40">
    <cfRule type="top10" dxfId="33" priority="34" bottom="1" rank="1"/>
  </conditionalFormatting>
  <conditionalFormatting sqref="C41:AZ41">
    <cfRule type="top10" dxfId="32" priority="33" bottom="1" rank="3"/>
  </conditionalFormatting>
  <conditionalFormatting sqref="C41:AZ41">
    <cfRule type="top10" dxfId="31" priority="32" bottom="1" rank="2"/>
  </conditionalFormatting>
  <conditionalFormatting sqref="C41:AZ41">
    <cfRule type="top10" dxfId="30" priority="31" bottom="1" rank="1"/>
  </conditionalFormatting>
  <conditionalFormatting sqref="C42:AZ42">
    <cfRule type="top10" dxfId="29" priority="30" bottom="1" rank="3"/>
  </conditionalFormatting>
  <conditionalFormatting sqref="C42:AZ42">
    <cfRule type="top10" dxfId="28" priority="29" bottom="1" rank="2"/>
  </conditionalFormatting>
  <conditionalFormatting sqref="C42:AZ42">
    <cfRule type="top10" dxfId="27" priority="28" bottom="1" rank="1"/>
  </conditionalFormatting>
  <conditionalFormatting sqref="C43:AZ43">
    <cfRule type="top10" dxfId="26" priority="27" bottom="1" rank="3"/>
  </conditionalFormatting>
  <conditionalFormatting sqref="C43:AZ43">
    <cfRule type="top10" dxfId="25" priority="26" bottom="1" rank="2"/>
  </conditionalFormatting>
  <conditionalFormatting sqref="C43:AZ43">
    <cfRule type="top10" dxfId="24" priority="25" bottom="1" rank="1"/>
  </conditionalFormatting>
  <conditionalFormatting sqref="C44:AZ44">
    <cfRule type="top10" dxfId="23" priority="24" bottom="1" rank="3"/>
  </conditionalFormatting>
  <conditionalFormatting sqref="C44:AZ44">
    <cfRule type="top10" dxfId="22" priority="23" bottom="1" rank="2"/>
  </conditionalFormatting>
  <conditionalFormatting sqref="C44:AZ44">
    <cfRule type="top10" dxfId="21" priority="22" bottom="1" rank="1"/>
  </conditionalFormatting>
  <conditionalFormatting sqref="C45:AZ45">
    <cfRule type="top10" dxfId="20" priority="21" bottom="1" rank="3"/>
  </conditionalFormatting>
  <conditionalFormatting sqref="C45:AZ45">
    <cfRule type="top10" dxfId="19" priority="20" bottom="1" rank="2"/>
  </conditionalFormatting>
  <conditionalFormatting sqref="C45:AZ45">
    <cfRule type="top10" dxfId="18" priority="19" bottom="1" rank="1"/>
  </conditionalFormatting>
  <conditionalFormatting sqref="C46:AZ46">
    <cfRule type="top10" dxfId="17" priority="18" bottom="1" rank="3"/>
  </conditionalFormatting>
  <conditionalFormatting sqref="C46:AZ46">
    <cfRule type="top10" dxfId="16" priority="17" bottom="1" rank="2"/>
  </conditionalFormatting>
  <conditionalFormatting sqref="C46:AZ46">
    <cfRule type="top10" dxfId="15" priority="16" bottom="1" rank="1"/>
  </conditionalFormatting>
  <conditionalFormatting sqref="C47:AZ47">
    <cfRule type="top10" dxfId="14" priority="15" bottom="1" rank="3"/>
  </conditionalFormatting>
  <conditionalFormatting sqref="C47:AZ47">
    <cfRule type="top10" dxfId="13" priority="14" bottom="1" rank="2"/>
  </conditionalFormatting>
  <conditionalFormatting sqref="C47:AZ47">
    <cfRule type="top10" dxfId="12" priority="13" bottom="1" rank="1"/>
  </conditionalFormatting>
  <conditionalFormatting sqref="C48:AZ48">
    <cfRule type="top10" dxfId="11" priority="12" bottom="1" rank="3"/>
  </conditionalFormatting>
  <conditionalFormatting sqref="C48:AZ48">
    <cfRule type="top10" dxfId="10" priority="11" bottom="1" rank="2"/>
  </conditionalFormatting>
  <conditionalFormatting sqref="C48:AZ48">
    <cfRule type="top10" dxfId="9" priority="10" bottom="1" rank="1"/>
  </conditionalFormatting>
  <conditionalFormatting sqref="C49:AZ49">
    <cfRule type="top10" dxfId="8" priority="9" bottom="1" rank="3"/>
  </conditionalFormatting>
  <conditionalFormatting sqref="C49:AZ49">
    <cfRule type="top10" dxfId="7" priority="8" bottom="1" rank="2"/>
  </conditionalFormatting>
  <conditionalFormatting sqref="C49:AZ49">
    <cfRule type="top10" dxfId="6" priority="7" bottom="1" rank="1"/>
  </conditionalFormatting>
  <conditionalFormatting sqref="C50:AZ50">
    <cfRule type="top10" dxfId="5" priority="6" bottom="1" rank="3"/>
  </conditionalFormatting>
  <conditionalFormatting sqref="C50:AZ50">
    <cfRule type="top10" dxfId="4" priority="5" bottom="1" rank="2"/>
  </conditionalFormatting>
  <conditionalFormatting sqref="C50:AZ50">
    <cfRule type="top10" dxfId="3" priority="4" bottom="1" rank="1"/>
  </conditionalFormatting>
  <conditionalFormatting sqref="C51:AZ51">
    <cfRule type="top10" dxfId="2" priority="3" bottom="1" rank="3"/>
  </conditionalFormatting>
  <conditionalFormatting sqref="C51:AZ51">
    <cfRule type="top10" dxfId="1" priority="2" bottom="1" rank="2"/>
  </conditionalFormatting>
  <conditionalFormatting sqref="C51:AZ51">
    <cfRule type="top10" dxfId="0" priority="1" bottom="1" rank="1"/>
  </conditionalFormatting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ConfigRank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苏宙行</dc:creator>
  <cp:lastModifiedBy>PC</cp:lastModifiedBy>
  <cp:lastPrinted>2015-12-31T04:45:52Z</cp:lastPrinted>
  <dcterms:created xsi:type="dcterms:W3CDTF">2015-12-14T05:02:32Z</dcterms:created>
  <dcterms:modified xsi:type="dcterms:W3CDTF">2018-09-26T05:34:24Z</dcterms:modified>
</cp:coreProperties>
</file>